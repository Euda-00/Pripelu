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0" documentId="13_ncr:1_{0117823B-FAB6-412E-ACC0-889258F2A9A5}" xr6:coauthVersionLast="47" xr6:coauthVersionMax="47" xr10:uidLastSave="{00000000-0000-0000-0000-000000000000}"/>
  <bookViews>
    <workbookView xWindow="-120" yWindow="480" windowWidth="29040" windowHeight="1584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 i="11" l="1"/>
  <c r="F30" i="11"/>
  <c r="E31" i="11" s="1"/>
  <c r="F28" i="11"/>
  <c r="F27" i="11"/>
  <c r="E28" i="11"/>
  <c r="F25" i="11"/>
  <c r="E27" i="11"/>
  <c r="F24" i="11"/>
  <c r="F23" i="11"/>
  <c r="F22" i="11"/>
  <c r="F21" i="11"/>
  <c r="F19" i="11"/>
  <c r="F18" i="11"/>
  <c r="F15" i="11"/>
  <c r="F13" i="11"/>
  <c r="F11" i="11"/>
  <c r="F10" i="11"/>
  <c r="E11" i="11" s="1"/>
  <c r="F17" i="11"/>
  <c r="F16" i="11"/>
  <c r="F9" i="11"/>
  <c r="E10" i="11" s="1"/>
  <c r="E13" i="11" s="1"/>
  <c r="E9" i="11"/>
  <c r="I4" i="11"/>
  <c r="H7" i="11"/>
  <c r="E29" i="11" l="1"/>
  <c r="F29" i="11" s="1"/>
  <c r="E30" i="11"/>
  <c r="E22" i="11"/>
  <c r="E12" i="11" l="1"/>
  <c r="F12" i="11" s="1"/>
  <c r="H22" i="11"/>
  <c r="E23" i="11"/>
  <c r="I5" i="11"/>
  <c r="H33" i="11"/>
  <c r="H32" i="11"/>
  <c r="H31" i="11"/>
  <c r="H30" i="11"/>
  <c r="H29" i="11"/>
  <c r="H26" i="11"/>
  <c r="H21" i="11"/>
  <c r="H20" i="11"/>
  <c r="H14" i="11"/>
  <c r="H8" i="11"/>
  <c r="J5" i="11" l="1"/>
  <c r="H9" i="11"/>
  <c r="E25" i="11"/>
  <c r="E15" i="11"/>
  <c r="I6" i="11"/>
  <c r="E16" i="11" l="1"/>
  <c r="H27" i="11"/>
  <c r="H25" i="11"/>
  <c r="E24" i="11"/>
  <c r="H10" i="11"/>
  <c r="H15" i="11"/>
  <c r="H13" i="11"/>
  <c r="K5" i="11"/>
  <c r="L5" i="11" s="1"/>
  <c r="M5" i="11" s="1"/>
  <c r="N5" i="11" s="1"/>
  <c r="O5" i="11" s="1"/>
  <c r="P5" i="11" s="1"/>
  <c r="H23" i="11" l="1"/>
  <c r="H24" i="11"/>
  <c r="H16" i="11"/>
  <c r="E17" i="11"/>
  <c r="E18" i="11" s="1"/>
  <c r="E19" i="11" s="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4" i="11" s="1"/>
  <c r="BF6" i="11" l="1"/>
  <c r="BG5" i="11"/>
  <c r="Z6"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H28" i="11"/>
</calcChain>
</file>

<file path=xl/sharedStrings.xml><?xml version="1.0" encoding="utf-8"?>
<sst xmlns="http://schemas.openxmlformats.org/spreadsheetml/2006/main" count="89" uniqueCount="69">
  <si>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</si>
  <si>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</si>
  <si>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</si>
  <si>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</si>
  <si>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</si>
  <si>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</si>
  <si>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</si>
  <si>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</si>
  <si>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</si>
  <si>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</si>
  <si>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</si>
  <si>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</si>
  <si>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</si>
  <si>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</si>
  <si>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Nombre de la compañía</t>
  </si>
  <si>
    <t>Responsable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</si>
  <si>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</si>
  <si>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</si>
  <si>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</si>
  <si>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</si>
  <si>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</si>
  <si>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</si>
  <si>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</si>
  <si>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</si>
  <si>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</si>
  <si>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</si>
  <si>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</si>
  <si>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</si>
  <si>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</si>
  <si>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</si>
  <si>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</si>
  <si>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</si>
  <si>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</si>
  <si>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</si>
  <si>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</si>
  <si>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</si>
  <si>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</si>
  <si>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</si>
  <si>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</si>
  <si>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</si>
  <si>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Definicion del problema</t>
  </si>
  <si>
    <t>Identificacion de usuarios</t>
  </si>
  <si>
    <t>Levantamiento de requisitos</t>
  </si>
  <si>
    <t>Casos de uso</t>
  </si>
  <si>
    <t>Diagrama de flujo</t>
  </si>
  <si>
    <t xml:space="preserve"> fase 1 Planificacion</t>
  </si>
  <si>
    <t>fase 2 Diseño</t>
  </si>
  <si>
    <t>Mockups del sistema</t>
  </si>
  <si>
    <t>Modelo base de datos</t>
  </si>
  <si>
    <t>Arquitectura del sistema</t>
  </si>
  <si>
    <t>Diagrama de clases</t>
  </si>
  <si>
    <t>Diseño interfaz usuario</t>
  </si>
  <si>
    <t>fase 3 Desarrollo</t>
  </si>
  <si>
    <t>Configuracion proyecto Spring boot</t>
  </si>
  <si>
    <t>Desarrollo backend</t>
  </si>
  <si>
    <t>Desarrollo frontend</t>
  </si>
  <si>
    <t>Integracion base de datos</t>
  </si>
  <si>
    <t>Sistema de reservas y login</t>
  </si>
  <si>
    <t>fase 4 Pruebas y entrega</t>
  </si>
  <si>
    <t>Testing del sistema</t>
  </si>
  <si>
    <t>Correcion de errores</t>
  </si>
  <si>
    <t>Optimizacion de interfaz</t>
  </si>
  <si>
    <t>Documentacion final</t>
  </si>
  <si>
    <t>Tomas</t>
  </si>
  <si>
    <t>Eugenio</t>
  </si>
  <si>
    <t>Ambos</t>
  </si>
  <si>
    <t xml:space="preserve">presentacion del proyecto </t>
  </si>
  <si>
    <t>PriPelu</t>
  </si>
  <si>
    <t>1En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</si>
</sst>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70" fontId="0" fillId="8" borderId="2" xfId="0" applyNumberFormat="1" applyFill="1" applyBorder="1" applyAlignment="1">
      <alignment horizontal="center" vertical="center"/>
    </xf>
    <xf numFmtId="170" fontId="5"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5"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5" fillId="6" borderId="2" xfId="0" applyNumberFormat="1" applyFont="1" applyFill="1" applyBorder="1" applyAlignment="1">
      <alignment horizontal="center" vertical="center"/>
    </xf>
    <xf numFmtId="170" fontId="9" fillId="11" borderId="2" xfId="10" applyFill="1">
      <alignment horizontal="center" vertical="center"/>
    </xf>
    <xf numFmtId="170" fontId="0" fillId="5" borderId="2" xfId="0" applyNumberFormat="1" applyFill="1" applyBorder="1" applyAlignment="1">
      <alignment horizontal="center" vertical="center"/>
    </xf>
    <xf numFmtId="170" fontId="5" fillId="5" borderId="2" xfId="0" applyNumberFormat="1" applyFont="1" applyFill="1" applyBorder="1" applyAlignment="1">
      <alignment horizontal="center" vertical="center"/>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7" borderId="6"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7" borderId="7" xfId="0" applyNumberFormat="1" applyFont="1" applyFill="1" applyBorder="1" applyAlignment="1">
      <alignment horizontal="center" vertical="center"/>
    </xf>
    <xf numFmtId="170" fontId="9" fillId="3" borderId="2" xfId="10" applyFill="1">
      <alignment horizontal="center" vertical="center"/>
    </xf>
    <xf numFmtId="170" fontId="9" fillId="4" borderId="2" xfId="10" applyFill="1">
      <alignment horizontal="center" vertical="center"/>
    </xf>
    <xf numFmtId="170" fontId="9" fillId="10" borderId="2" xfId="10" applyFill="1">
      <alignment horizontal="center" vertical="center"/>
    </xf>
    <xf numFmtId="170" fontId="9" fillId="0" borderId="2" xfId="10">
      <alignment horizontal="center" vertical="center"/>
    </xf>
    <xf numFmtId="14" fontId="0" fillId="0" borderId="0" xfId="0" applyNumberFormat="1" applyAlignment="1">
      <alignment horizont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8"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O36"/>
  <sheetViews>
    <sheetView showGridLines="0" tabSelected="1" showRuler="0" zoomScale="85" zoomScaleNormal="85" zoomScalePageLayoutView="70" workbookViewId="0">
      <pane ySplit="6" topLeftCell="A8" activePane="bottomLeft" state="frozen"/>
      <selection pane="bottomLeft" activeCell="D31" sqref="D31"/>
    </sheetView>
  </sheetViews>
  <sheetFormatPr baseColWidth="10" defaultColWidth="9.140625" defaultRowHeight="30" customHeight="1" x14ac:dyDescent="0.25"/>
  <cols>
    <col min="1" max="1" width="2.7109375" style="45" customWidth="1"/>
    <col min="2" max="2" width="29.42578125" customWidth="1"/>
    <col min="3" max="3" width="30.7109375" customWidth="1"/>
    <col min="4" max="4" width="10.7109375" customWidth="1"/>
    <col min="5" max="5" width="10.42578125" style="5" customWidth="1"/>
    <col min="6" max="6" width="10.42578125" customWidth="1"/>
    <col min="7" max="7" width="2.7109375" customWidth="1"/>
    <col min="8" max="8" width="9.42578125" hidden="1" customWidth="1"/>
    <col min="9" max="64" width="3.28515625" customWidth="1"/>
    <col min="69" max="70" width="10.28515625"/>
  </cols>
  <sheetData>
    <row r="1" spans="1:67" ht="30" customHeight="1" x14ac:dyDescent="0.45">
      <c r="A1" s="46" t="s">
        <v>0</v>
      </c>
      <c r="B1" s="49" t="s">
        <v>67</v>
      </c>
      <c r="C1" s="1"/>
      <c r="D1" s="2"/>
      <c r="E1" s="4"/>
      <c r="F1" s="34"/>
      <c r="H1" s="2"/>
      <c r="I1" s="67" t="s">
        <v>25</v>
      </c>
    </row>
    <row r="2" spans="1:67" ht="30" customHeight="1" x14ac:dyDescent="0.3">
      <c r="A2" s="45" t="s">
        <v>1</v>
      </c>
      <c r="B2" s="50" t="s">
        <v>14</v>
      </c>
      <c r="E2" s="88"/>
      <c r="I2" s="68" t="s">
        <v>26</v>
      </c>
    </row>
    <row r="3" spans="1:67" ht="30" customHeight="1" x14ac:dyDescent="0.25">
      <c r="A3" s="45" t="s">
        <v>2</v>
      </c>
      <c r="B3" s="51" t="s">
        <v>15</v>
      </c>
      <c r="C3" s="93" t="s">
        <v>18</v>
      </c>
      <c r="D3" s="94"/>
      <c r="E3" s="92">
        <v>46092</v>
      </c>
      <c r="F3" s="92"/>
    </row>
    <row r="4" spans="1:67" ht="30" customHeight="1" x14ac:dyDescent="0.25">
      <c r="A4" s="46" t="s">
        <v>3</v>
      </c>
      <c r="C4" s="93" t="s">
        <v>19</v>
      </c>
      <c r="D4" s="94"/>
      <c r="E4" s="7">
        <v>1</v>
      </c>
      <c r="I4" s="89">
        <f>I5</f>
        <v>46090</v>
      </c>
      <c r="J4" s="90"/>
      <c r="K4" s="90"/>
      <c r="L4" s="90"/>
      <c r="M4" s="90"/>
      <c r="N4" s="90"/>
      <c r="O4" s="91"/>
      <c r="P4" s="89">
        <f>P5</f>
        <v>46097</v>
      </c>
      <c r="Q4" s="90"/>
      <c r="R4" s="90"/>
      <c r="S4" s="90"/>
      <c r="T4" s="90"/>
      <c r="U4" s="90"/>
      <c r="V4" s="91"/>
      <c r="W4" s="89">
        <f>W5</f>
        <v>46104</v>
      </c>
      <c r="X4" s="90"/>
      <c r="Y4" s="90"/>
      <c r="Z4" s="90"/>
      <c r="AA4" s="90"/>
      <c r="AB4" s="90"/>
      <c r="AC4" s="91"/>
      <c r="AD4" s="89">
        <f>AD5</f>
        <v>46111</v>
      </c>
      <c r="AE4" s="90"/>
      <c r="AF4" s="90"/>
      <c r="AG4" s="90"/>
      <c r="AH4" s="90"/>
      <c r="AI4" s="90"/>
      <c r="AJ4" s="91"/>
      <c r="AK4" s="89">
        <f>AK5</f>
        <v>46118</v>
      </c>
      <c r="AL4" s="90"/>
      <c r="AM4" s="90"/>
      <c r="AN4" s="90"/>
      <c r="AO4" s="90"/>
      <c r="AP4" s="90"/>
      <c r="AQ4" s="91"/>
      <c r="AR4" s="89">
        <f>AR5</f>
        <v>46125</v>
      </c>
      <c r="AS4" s="90"/>
      <c r="AT4" s="90"/>
      <c r="AU4" s="90"/>
      <c r="AV4" s="90"/>
      <c r="AW4" s="90"/>
      <c r="AX4" s="91"/>
      <c r="AY4" s="89">
        <f>AY5</f>
        <v>46132</v>
      </c>
      <c r="AZ4" s="90"/>
      <c r="BA4" s="90"/>
      <c r="BB4" s="90"/>
      <c r="BC4" s="90"/>
      <c r="BD4" s="90"/>
      <c r="BE4" s="91"/>
      <c r="BF4" s="89">
        <f>BF5</f>
        <v>46139</v>
      </c>
      <c r="BG4" s="90"/>
      <c r="BH4" s="90"/>
      <c r="BI4" s="90"/>
      <c r="BJ4" s="90"/>
      <c r="BK4" s="90"/>
      <c r="BL4" s="91"/>
    </row>
    <row r="5" spans="1:67" ht="15" customHeight="1" x14ac:dyDescent="0.25">
      <c r="A5" s="46" t="s">
        <v>4</v>
      </c>
      <c r="B5" s="66"/>
      <c r="C5" s="66"/>
      <c r="D5" s="66"/>
      <c r="E5" s="66"/>
      <c r="F5" s="66"/>
      <c r="G5" s="66"/>
      <c r="I5" s="81">
        <f>Inicio_del_proyecto-WEEKDAY(Inicio_del_proyecto,1)+2+7*(Semana_para_mostrar-1)</f>
        <v>46090</v>
      </c>
      <c r="J5" s="82">
        <f>I5+1</f>
        <v>46091</v>
      </c>
      <c r="K5" s="82">
        <f t="shared" ref="K5:AX5" si="0">J5+1</f>
        <v>46092</v>
      </c>
      <c r="L5" s="82">
        <f t="shared" si="0"/>
        <v>46093</v>
      </c>
      <c r="M5" s="82">
        <f t="shared" si="0"/>
        <v>46094</v>
      </c>
      <c r="N5" s="82">
        <f t="shared" si="0"/>
        <v>46095</v>
      </c>
      <c r="O5" s="83">
        <f t="shared" si="0"/>
        <v>46096</v>
      </c>
      <c r="P5" s="81">
        <f>O5+1</f>
        <v>46097</v>
      </c>
      <c r="Q5" s="82">
        <f>P5+1</f>
        <v>46098</v>
      </c>
      <c r="R5" s="82">
        <f t="shared" si="0"/>
        <v>46099</v>
      </c>
      <c r="S5" s="82">
        <f t="shared" si="0"/>
        <v>46100</v>
      </c>
      <c r="T5" s="82">
        <f t="shared" si="0"/>
        <v>46101</v>
      </c>
      <c r="U5" s="82">
        <f t="shared" si="0"/>
        <v>46102</v>
      </c>
      <c r="V5" s="83">
        <f t="shared" si="0"/>
        <v>46103</v>
      </c>
      <c r="W5" s="81">
        <f>V5+1</f>
        <v>46104</v>
      </c>
      <c r="X5" s="82">
        <f>W5+1</f>
        <v>46105</v>
      </c>
      <c r="Y5" s="82">
        <f t="shared" si="0"/>
        <v>46106</v>
      </c>
      <c r="Z5" s="82">
        <f t="shared" si="0"/>
        <v>46107</v>
      </c>
      <c r="AA5" s="82">
        <f t="shared" si="0"/>
        <v>46108</v>
      </c>
      <c r="AB5" s="82">
        <f t="shared" si="0"/>
        <v>46109</v>
      </c>
      <c r="AC5" s="83">
        <f t="shared" si="0"/>
        <v>46110</v>
      </c>
      <c r="AD5" s="81">
        <f>AC5+1</f>
        <v>46111</v>
      </c>
      <c r="AE5" s="82">
        <f>AD5+1</f>
        <v>46112</v>
      </c>
      <c r="AF5" s="82">
        <f t="shared" si="0"/>
        <v>46113</v>
      </c>
      <c r="AG5" s="82">
        <f t="shared" si="0"/>
        <v>46114</v>
      </c>
      <c r="AH5" s="82">
        <f t="shared" si="0"/>
        <v>46115</v>
      </c>
      <c r="AI5" s="82">
        <f t="shared" si="0"/>
        <v>46116</v>
      </c>
      <c r="AJ5" s="83">
        <f t="shared" si="0"/>
        <v>46117</v>
      </c>
      <c r="AK5" s="81">
        <f>AJ5+1</f>
        <v>46118</v>
      </c>
      <c r="AL5" s="82">
        <f>AK5+1</f>
        <v>46119</v>
      </c>
      <c r="AM5" s="82">
        <f t="shared" si="0"/>
        <v>46120</v>
      </c>
      <c r="AN5" s="82">
        <f t="shared" si="0"/>
        <v>46121</v>
      </c>
      <c r="AO5" s="82">
        <f t="shared" si="0"/>
        <v>46122</v>
      </c>
      <c r="AP5" s="82">
        <f t="shared" si="0"/>
        <v>46123</v>
      </c>
      <c r="AQ5" s="83">
        <f t="shared" si="0"/>
        <v>46124</v>
      </c>
      <c r="AR5" s="81">
        <f>AQ5+1</f>
        <v>46125</v>
      </c>
      <c r="AS5" s="82">
        <f>AR5+1</f>
        <v>46126</v>
      </c>
      <c r="AT5" s="82">
        <f t="shared" si="0"/>
        <v>46127</v>
      </c>
      <c r="AU5" s="82">
        <f t="shared" si="0"/>
        <v>46128</v>
      </c>
      <c r="AV5" s="82">
        <f t="shared" si="0"/>
        <v>46129</v>
      </c>
      <c r="AW5" s="82">
        <f t="shared" si="0"/>
        <v>46130</v>
      </c>
      <c r="AX5" s="83">
        <f t="shared" si="0"/>
        <v>46131</v>
      </c>
      <c r="AY5" s="81">
        <f>AX5+1</f>
        <v>46132</v>
      </c>
      <c r="AZ5" s="82">
        <f>AY5+1</f>
        <v>46133</v>
      </c>
      <c r="BA5" s="82">
        <f t="shared" ref="BA5:BE5" si="1">AZ5+1</f>
        <v>46134</v>
      </c>
      <c r="BB5" s="82">
        <f t="shared" si="1"/>
        <v>46135</v>
      </c>
      <c r="BC5" s="82">
        <f t="shared" si="1"/>
        <v>46136</v>
      </c>
      <c r="BD5" s="82">
        <f t="shared" si="1"/>
        <v>46137</v>
      </c>
      <c r="BE5" s="83">
        <f t="shared" si="1"/>
        <v>46138</v>
      </c>
      <c r="BF5" s="81">
        <f>BE5+1</f>
        <v>46139</v>
      </c>
      <c r="BG5" s="82">
        <f>BF5+1</f>
        <v>46140</v>
      </c>
      <c r="BH5" s="82">
        <f t="shared" ref="BH5:BL5" si="2">BG5+1</f>
        <v>46141</v>
      </c>
      <c r="BI5" s="82">
        <f t="shared" si="2"/>
        <v>46142</v>
      </c>
      <c r="BJ5" s="82">
        <f t="shared" si="2"/>
        <v>46143</v>
      </c>
      <c r="BK5" s="82">
        <f t="shared" si="2"/>
        <v>46144</v>
      </c>
      <c r="BL5" s="83">
        <f t="shared" si="2"/>
        <v>46145</v>
      </c>
    </row>
    <row r="6" spans="1:67" ht="30" customHeight="1" thickBot="1" x14ac:dyDescent="0.3">
      <c r="A6" s="46" t="s">
        <v>5</v>
      </c>
      <c r="B6" s="8" t="s">
        <v>16</v>
      </c>
      <c r="C6" s="9" t="s">
        <v>20</v>
      </c>
      <c r="D6" s="9" t="s">
        <v>21</v>
      </c>
      <c r="E6" s="9" t="s">
        <v>22</v>
      </c>
      <c r="F6" s="9" t="s">
        <v>23</v>
      </c>
      <c r="G6" s="9"/>
      <c r="H6" s="9" t="s">
        <v>24</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7" ht="30" hidden="1" customHeight="1" thickBot="1" x14ac:dyDescent="0.3">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7" s="3" customFormat="1" ht="30" customHeight="1" thickBot="1" x14ac:dyDescent="0.3">
      <c r="A8" s="46" t="s">
        <v>7</v>
      </c>
      <c r="B8" s="15" t="s">
        <v>45</v>
      </c>
      <c r="C8" s="52"/>
      <c r="D8" s="16"/>
      <c r="E8" s="70"/>
      <c r="F8" s="71"/>
      <c r="G8" s="14"/>
      <c r="H8" s="14" t="str">
        <f t="shared" ref="H8:H33"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t="s">
        <v>68</v>
      </c>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7" s="3" customFormat="1" ht="30" customHeight="1" thickBot="1" x14ac:dyDescent="0.3">
      <c r="A9" s="46" t="s">
        <v>8</v>
      </c>
      <c r="B9" s="61" t="s">
        <v>40</v>
      </c>
      <c r="C9" s="53" t="s">
        <v>63</v>
      </c>
      <c r="D9" s="17">
        <v>1</v>
      </c>
      <c r="E9" s="84">
        <f>Inicio_del_proyecto</f>
        <v>46092</v>
      </c>
      <c r="F9" s="84">
        <f>E9+7</f>
        <v>46099</v>
      </c>
      <c r="G9" s="14"/>
      <c r="H9" s="14">
        <f t="shared" si="6"/>
        <v>8</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7" s="3" customFormat="1" ht="30" customHeight="1" thickBot="1" x14ac:dyDescent="0.3">
      <c r="A10" s="46" t="s">
        <v>9</v>
      </c>
      <c r="B10" s="61" t="s">
        <v>41</v>
      </c>
      <c r="C10" s="53" t="s">
        <v>65</v>
      </c>
      <c r="D10" s="17">
        <v>1</v>
      </c>
      <c r="E10" s="84">
        <f>F9</f>
        <v>46099</v>
      </c>
      <c r="F10" s="84">
        <f>E10+2</f>
        <v>46101</v>
      </c>
      <c r="G10" s="14"/>
      <c r="H10" s="14">
        <f t="shared"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O10" s="3">
        <v>1</v>
      </c>
    </row>
    <row r="11" spans="1:67" s="3" customFormat="1" ht="30" customHeight="1" thickBot="1" x14ac:dyDescent="0.3">
      <c r="A11" s="45"/>
      <c r="B11" s="61" t="s">
        <v>42</v>
      </c>
      <c r="C11" s="53" t="s">
        <v>65</v>
      </c>
      <c r="D11" s="17">
        <v>1</v>
      </c>
      <c r="E11" s="84">
        <f>F10</f>
        <v>46101</v>
      </c>
      <c r="F11" s="84">
        <f>E11+4</f>
        <v>46105</v>
      </c>
      <c r="G11" s="14"/>
      <c r="H11" s="14">
        <f t="shared"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7" s="3" customFormat="1" ht="30" customHeight="1" thickBot="1" x14ac:dyDescent="0.3">
      <c r="A12" s="45"/>
      <c r="B12" s="61" t="s">
        <v>43</v>
      </c>
      <c r="C12" s="53" t="s">
        <v>63</v>
      </c>
      <c r="D12" s="17">
        <v>1</v>
      </c>
      <c r="E12" s="84">
        <f>F11</f>
        <v>46105</v>
      </c>
      <c r="F12" s="84">
        <f>E12+3</f>
        <v>46108</v>
      </c>
      <c r="G12" s="14"/>
      <c r="H12" s="14">
        <f t="shared" si="6"/>
        <v>4</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7" s="3" customFormat="1" ht="30" customHeight="1" thickBot="1" x14ac:dyDescent="0.3">
      <c r="A13" s="45"/>
      <c r="B13" s="61" t="s">
        <v>44</v>
      </c>
      <c r="C13" s="53" t="s">
        <v>63</v>
      </c>
      <c r="D13" s="17">
        <v>1</v>
      </c>
      <c r="E13" s="84">
        <f>E10+1</f>
        <v>46100</v>
      </c>
      <c r="F13" s="84">
        <f>E13+1</f>
        <v>46101</v>
      </c>
      <c r="G13" s="14"/>
      <c r="H13" s="14">
        <f t="shared" si="6"/>
        <v>2</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7" s="3" customFormat="1" ht="30" customHeight="1" thickBot="1" x14ac:dyDescent="0.3">
      <c r="A14" s="46" t="s">
        <v>10</v>
      </c>
      <c r="B14" s="18" t="s">
        <v>46</v>
      </c>
      <c r="C14" s="54"/>
      <c r="D14" s="19"/>
      <c r="E14" s="72"/>
      <c r="F14" s="73"/>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7" s="3" customFormat="1" ht="30" customHeight="1" thickBot="1" x14ac:dyDescent="0.3">
      <c r="A15" s="46"/>
      <c r="B15" s="62" t="s">
        <v>47</v>
      </c>
      <c r="C15" s="55" t="s">
        <v>63</v>
      </c>
      <c r="D15" s="20">
        <v>1</v>
      </c>
      <c r="E15" s="85">
        <f>E13+1</f>
        <v>46101</v>
      </c>
      <c r="F15" s="85">
        <f>E15+3</f>
        <v>46104</v>
      </c>
      <c r="G15" s="14"/>
      <c r="H15" s="14">
        <f t="shared" si="6"/>
        <v>4</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7" s="3" customFormat="1" ht="30" customHeight="1" thickBot="1" x14ac:dyDescent="0.3">
      <c r="A16" s="45"/>
      <c r="B16" s="62" t="s">
        <v>48</v>
      </c>
      <c r="C16" s="55" t="s">
        <v>64</v>
      </c>
      <c r="D16" s="20">
        <v>1</v>
      </c>
      <c r="E16" s="85">
        <f>E15+2</f>
        <v>46103</v>
      </c>
      <c r="F16" s="85">
        <f>E16+3</f>
        <v>46106</v>
      </c>
      <c r="G16" s="14"/>
      <c r="H16" s="14">
        <f t="shared" si="6"/>
        <v>4</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2" t="s">
        <v>50</v>
      </c>
      <c r="C17" s="55" t="s">
        <v>63</v>
      </c>
      <c r="D17" s="20">
        <v>1</v>
      </c>
      <c r="E17" s="85">
        <f>F16</f>
        <v>46106</v>
      </c>
      <c r="F17" s="85">
        <f>E17+3</f>
        <v>46109</v>
      </c>
      <c r="G17" s="14"/>
      <c r="H17" s="14">
        <f t="shared" si="6"/>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45"/>
      <c r="B18" s="62" t="s">
        <v>49</v>
      </c>
      <c r="C18" s="55" t="s">
        <v>64</v>
      </c>
      <c r="D18" s="20">
        <v>1</v>
      </c>
      <c r="E18" s="85">
        <f>E17</f>
        <v>46106</v>
      </c>
      <c r="F18" s="85">
        <f>E18+5</f>
        <v>46111</v>
      </c>
      <c r="G18" s="14"/>
      <c r="H18" s="14">
        <f t="shared" si="6"/>
        <v>6</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45"/>
      <c r="B19" s="62" t="s">
        <v>51</v>
      </c>
      <c r="C19" s="55" t="s">
        <v>65</v>
      </c>
      <c r="D19" s="20">
        <v>1</v>
      </c>
      <c r="E19" s="85">
        <f>E18</f>
        <v>46106</v>
      </c>
      <c r="F19" s="85">
        <f>E19+5</f>
        <v>46111</v>
      </c>
      <c r="G19" s="14"/>
      <c r="H19" s="14">
        <f t="shared" si="6"/>
        <v>6</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45" t="s">
        <v>11</v>
      </c>
      <c r="B20" s="21" t="s">
        <v>52</v>
      </c>
      <c r="C20" s="56"/>
      <c r="D20" s="22"/>
      <c r="E20" s="74"/>
      <c r="F20" s="75"/>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c r="B21" s="63" t="s">
        <v>53</v>
      </c>
      <c r="C21" s="57" t="s">
        <v>64</v>
      </c>
      <c r="D21" s="23">
        <v>1</v>
      </c>
      <c r="E21" s="76">
        <v>46120</v>
      </c>
      <c r="F21" s="76">
        <f>E21+7</f>
        <v>46127</v>
      </c>
      <c r="G21" s="14"/>
      <c r="H21" s="14">
        <f t="shared" si="6"/>
        <v>8</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5"/>
      <c r="B22" s="63" t="s">
        <v>54</v>
      </c>
      <c r="C22" s="57" t="s">
        <v>64</v>
      </c>
      <c r="D22" s="23">
        <v>0.95</v>
      </c>
      <c r="E22" s="76">
        <f>F21+1</f>
        <v>46128</v>
      </c>
      <c r="F22" s="76">
        <f>E22+14</f>
        <v>46142</v>
      </c>
      <c r="G22" s="14"/>
      <c r="H22" s="14">
        <f t="shared" si="6"/>
        <v>15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45"/>
      <c r="B23" s="63" t="s">
        <v>55</v>
      </c>
      <c r="C23" s="57" t="s">
        <v>63</v>
      </c>
      <c r="D23" s="23">
        <v>0.85</v>
      </c>
      <c r="E23" s="76">
        <f>E22+5</f>
        <v>46133</v>
      </c>
      <c r="F23" s="76">
        <f>E23+14</f>
        <v>46147</v>
      </c>
      <c r="G23" s="14"/>
      <c r="H23" s="14">
        <f t="shared" si="6"/>
        <v>15</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
      <c r="A24" s="45"/>
      <c r="B24" s="63" t="s">
        <v>56</v>
      </c>
      <c r="C24" s="57" t="s">
        <v>65</v>
      </c>
      <c r="D24" s="23">
        <v>1</v>
      </c>
      <c r="E24" s="76">
        <f>F23+1</f>
        <v>46148</v>
      </c>
      <c r="F24" s="76">
        <f>E24+14</f>
        <v>46162</v>
      </c>
      <c r="G24" s="14"/>
      <c r="H24" s="14">
        <f t="shared" si="6"/>
        <v>15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
      <c r="A25" s="45"/>
      <c r="B25" s="63" t="s">
        <v>57</v>
      </c>
      <c r="C25" s="57" t="s">
        <v>65</v>
      </c>
      <c r="D25" s="23">
        <v>0.95</v>
      </c>
      <c r="E25" s="76">
        <f>E23</f>
        <v>46133</v>
      </c>
      <c r="F25" s="76">
        <f>E25+21</f>
        <v>46154</v>
      </c>
      <c r="G25" s="14"/>
      <c r="H25" s="14">
        <f t="shared" si="6"/>
        <v>22</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
      <c r="A26" s="45" t="s">
        <v>11</v>
      </c>
      <c r="B26" s="24" t="s">
        <v>58</v>
      </c>
      <c r="C26" s="58"/>
      <c r="D26" s="25"/>
      <c r="E26" s="77"/>
      <c r="F26" s="78"/>
      <c r="G26" s="14"/>
      <c r="H26" s="14" t="str">
        <f t="shared"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
      <c r="A27" s="45"/>
      <c r="B27" s="64" t="s">
        <v>59</v>
      </c>
      <c r="C27" s="59" t="s">
        <v>65</v>
      </c>
      <c r="D27" s="26">
        <v>0.5</v>
      </c>
      <c r="E27" s="86">
        <f>F25</f>
        <v>46154</v>
      </c>
      <c r="F27" s="86">
        <f>E27+4</f>
        <v>46158</v>
      </c>
      <c r="G27" s="14"/>
      <c r="H27" s="14">
        <f t="shared" si="6"/>
        <v>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
      <c r="A28" s="45"/>
      <c r="B28" s="64" t="s">
        <v>60</v>
      </c>
      <c r="C28" s="59" t="s">
        <v>65</v>
      </c>
      <c r="D28" s="26">
        <v>0.8</v>
      </c>
      <c r="E28" s="86">
        <f>F27</f>
        <v>46158</v>
      </c>
      <c r="F28" s="86">
        <f>E28+2</f>
        <v>46160</v>
      </c>
      <c r="G28" s="14"/>
      <c r="H28" s="14">
        <f t="shared" si="6"/>
        <v>3</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
      <c r="A29" s="45"/>
      <c r="B29" s="64" t="s">
        <v>61</v>
      </c>
      <c r="C29" s="59" t="s">
        <v>63</v>
      </c>
      <c r="D29" s="26"/>
      <c r="E29" s="86">
        <f>F28</f>
        <v>46160</v>
      </c>
      <c r="F29" s="86">
        <f>E29+2</f>
        <v>46162</v>
      </c>
      <c r="G29" s="14"/>
      <c r="H29" s="14">
        <f t="shared" si="6"/>
        <v>3</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
      <c r="A30" s="45"/>
      <c r="B30" s="64" t="s">
        <v>62</v>
      </c>
      <c r="C30" s="59" t="s">
        <v>65</v>
      </c>
      <c r="D30" s="26"/>
      <c r="E30" s="86">
        <f>F29</f>
        <v>46162</v>
      </c>
      <c r="F30" s="86">
        <f>E30+4</f>
        <v>46166</v>
      </c>
      <c r="G30" s="14"/>
      <c r="H30" s="14">
        <f t="shared" si="6"/>
        <v>5</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
      <c r="A31" s="45"/>
      <c r="B31" s="64" t="s">
        <v>66</v>
      </c>
      <c r="C31" s="59" t="s">
        <v>65</v>
      </c>
      <c r="D31" s="26"/>
      <c r="E31" s="86">
        <f>F30</f>
        <v>46166</v>
      </c>
      <c r="F31" s="86">
        <f>E31+1</f>
        <v>46167</v>
      </c>
      <c r="G31" s="14"/>
      <c r="H31" s="14">
        <f t="shared" si="6"/>
        <v>2</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
      <c r="A32" s="45" t="s">
        <v>12</v>
      </c>
      <c r="B32" s="65"/>
      <c r="C32" s="60"/>
      <c r="D32" s="13"/>
      <c r="E32" s="87"/>
      <c r="F32" s="87"/>
      <c r="G32" s="14"/>
      <c r="H32" s="14" t="str">
        <f t="shared"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
      <c r="A33" s="46" t="s">
        <v>13</v>
      </c>
      <c r="B33" s="27" t="s">
        <v>17</v>
      </c>
      <c r="C33" s="28"/>
      <c r="D33" s="29"/>
      <c r="E33" s="79"/>
      <c r="F33" s="80"/>
      <c r="G33" s="30"/>
      <c r="H33" s="30" t="str">
        <f t="shared"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25">
      <c r="G34" s="6"/>
    </row>
    <row r="35" spans="1:64" ht="30" customHeight="1" x14ac:dyDescent="0.25">
      <c r="C35" s="11"/>
      <c r="F35" s="47"/>
    </row>
    <row r="36" spans="1:64" ht="30" customHeight="1" x14ac:dyDescent="0.25">
      <c r="C36"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ignoredErrors>
    <ignoredError sqref="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25</v>
      </c>
      <c r="B2" s="36"/>
    </row>
    <row r="3" spans="1:2" s="41" customFormat="1" ht="27" customHeight="1" x14ac:dyDescent="0.25">
      <c r="A3" s="69" t="s">
        <v>26</v>
      </c>
      <c r="B3" s="42"/>
    </row>
    <row r="4" spans="1:2" s="38" customFormat="1" ht="26.25" x14ac:dyDescent="0.4">
      <c r="A4" s="39" t="s">
        <v>27</v>
      </c>
    </row>
    <row r="5" spans="1:2" ht="74.099999999999994" customHeight="1" x14ac:dyDescent="0.2">
      <c r="A5" s="40" t="s">
        <v>28</v>
      </c>
    </row>
    <row r="6" spans="1:2" ht="26.25" customHeight="1" x14ac:dyDescent="0.2">
      <c r="A6" s="39" t="s">
        <v>29</v>
      </c>
    </row>
    <row r="7" spans="1:2" s="35" customFormat="1" ht="215.25" customHeight="1" x14ac:dyDescent="0.25">
      <c r="A7" s="44" t="s">
        <v>30</v>
      </c>
    </row>
    <row r="8" spans="1:2" s="38" customFormat="1" ht="26.25" x14ac:dyDescent="0.4">
      <c r="A8" s="39" t="s">
        <v>31</v>
      </c>
    </row>
    <row r="9" spans="1:2" ht="75" x14ac:dyDescent="0.2">
      <c r="A9" s="40" t="s">
        <v>32</v>
      </c>
    </row>
    <row r="10" spans="1:2" s="35" customFormat="1" ht="27.95" customHeight="1" x14ac:dyDescent="0.25">
      <c r="A10" s="43" t="s">
        <v>33</v>
      </c>
    </row>
    <row r="11" spans="1:2" s="38" customFormat="1" ht="26.25" x14ac:dyDescent="0.4">
      <c r="A11" s="39" t="s">
        <v>34</v>
      </c>
    </row>
    <row r="12" spans="1:2" ht="30" x14ac:dyDescent="0.2">
      <c r="A12" s="40" t="s">
        <v>35</v>
      </c>
    </row>
    <row r="13" spans="1:2" s="35" customFormat="1" ht="27.95" customHeight="1" x14ac:dyDescent="0.25">
      <c r="A13" s="43" t="s">
        <v>36</v>
      </c>
    </row>
    <row r="14" spans="1:2" s="38" customFormat="1" ht="26.25" x14ac:dyDescent="0.4">
      <c r="A14" s="39" t="s">
        <v>37</v>
      </c>
    </row>
    <row r="15" spans="1:2" ht="96.75" customHeight="1" x14ac:dyDescent="0.2">
      <c r="A15" s="40" t="s">
        <v>38</v>
      </c>
    </row>
    <row r="16" spans="1:2" ht="90" x14ac:dyDescent="0.2">
      <c r="A16" s="40" t="s">
        <v>39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2026-06-02T16:51:33Z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